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ariffs" sheetId="2" state="visible" r:id="rId4"/>
    <sheet name="Scenarios" sheetId="3" state="visible" r:id="rId5"/>
    <sheet name="Routing" sheetId="4" state="visible" r:id="rId6"/>
    <sheet name="Free ris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<sst xmlns="http://schemas.openxmlformats.org/spreadsheetml/2006/main" count="251" uniqueCount="197">
  <si>
    <t xml:space="preserve">Frontier Intelligence — LLM cost assumptions</t>
  </si>
  <si>
    <t xml:space="preserve">Volume assumptions (per month)</t>
  </si>
  <si>
    <t xml:space="preserve">Параметр</t>
  </si>
  <si>
    <t xml:space="preserve">Значение</t>
  </si>
  <si>
    <t xml:space="preserve">Заметка</t>
  </si>
  <si>
    <t xml:space="preserve">Sources active</t>
  </si>
  <si>
    <t xml:space="preserve">31 RSS + 7 TG + 6 web + 3 api</t>
  </si>
  <si>
    <t xml:space="preserve">Posts per day (avg)</t>
  </si>
  <si>
    <t xml:space="preserve">31×8 RSS + 7×20 TG + ~50 web/api</t>
  </si>
  <si>
    <t xml:space="preserve">Posts per month</t>
  </si>
  <si>
    <t xml:space="preserve">B6 × 30 days</t>
  </si>
  <si>
    <t xml:space="preserve">Posts with images (vision)</t>
  </si>
  <si>
    <t xml:space="preserve">~30% постов с картинками</t>
  </si>
  <si>
    <t xml:space="preserve">MCP synthesis calls / month</t>
  </si>
  <si>
    <t xml:space="preserve">~50/день для Claude-проектов</t>
  </si>
  <si>
    <t xml:space="preserve">Missing-signal probes / month</t>
  </si>
  <si>
    <t xml:space="preserve">~20/день в worker</t>
  </si>
  <si>
    <t xml:space="preserve">Token budgets per call (из shared/config.py + .env.balanced)</t>
  </si>
  <si>
    <t xml:space="preserve">Задача</t>
  </si>
  <si>
    <t xml:space="preserve">Input tok</t>
  </si>
  <si>
    <t xml:space="preserve">Output tok</t>
  </si>
  <si>
    <t xml:space="preserve">Источник бюджета</t>
  </si>
  <si>
    <t xml:space="preserve">relevance_concepts (joint)</t>
  </si>
  <si>
    <t xml:space="preserve">GIGACHAT_TOKEN_BUDGET_RELEVANCE_CONCEPTS</t>
  </si>
  <si>
    <t xml:space="preserve">relevance (split)</t>
  </si>
  <si>
    <t xml:space="preserve">GIGACHAT_TOKEN_BUDGET_RELEVANCE</t>
  </si>
  <si>
    <t xml:space="preserve">concepts (split)</t>
  </si>
  <si>
    <t xml:space="preserve">GIGACHAT_TOKEN_BUDGET_CONCEPTS</t>
  </si>
  <si>
    <t xml:space="preserve">valence</t>
  </si>
  <si>
    <t xml:space="preserve">GIGACHAT_TOKEN_BUDGET_VALENCE</t>
  </si>
  <si>
    <t xml:space="preserve">embed (1 пост)</t>
  </si>
  <si>
    <t xml:space="preserve">GIGACHAT_TOKEN_BUDGET_EMBED, EmbeddingsGigaR</t>
  </si>
  <si>
    <t xml:space="preserve">vision_prompt + image</t>
  </si>
  <si>
    <t xml:space="preserve">600 prompt + ~2000 image tokens</t>
  </si>
  <si>
    <t xml:space="preserve">mcp_synthesis</t>
  </si>
  <si>
    <t xml:space="preserve">frontier_brief / search_balanced</t>
  </si>
  <si>
    <t xml:space="preserve">missing_signals probe</t>
  </si>
  <si>
    <t xml:space="preserve">worker/services/missing_signals.py</t>
  </si>
  <si>
    <t xml:space="preserve">Расчётный объём токенов в месяц</t>
  </si>
  <si>
    <t xml:space="preserve">Поток</t>
  </si>
  <si>
    <t xml:space="preserve">Input M</t>
  </si>
  <si>
    <t xml:space="preserve">Output M</t>
  </si>
  <si>
    <t xml:space="preserve">Формула</t>
  </si>
  <si>
    <t xml:space="preserve">relevance+concepts</t>
  </si>
  <si>
    <t xml:space="preserve">posts/мес × budget</t>
  </si>
  <si>
    <t xml:space="preserve">embed</t>
  </si>
  <si>
    <t xml:space="preserve">vision (постов с картинками)</t>
  </si>
  <si>
    <t xml:space="preserve">missing_signals</t>
  </si>
  <si>
    <t xml:space="preserve">ИТОГО (M токенов)</t>
  </si>
  <si>
    <t xml:space="preserve">Тарифы провайдеров (май 2026)</t>
  </si>
  <si>
    <t xml:space="preserve">Провайдер</t>
  </si>
  <si>
    <t xml:space="preserve">Модель</t>
  </si>
  <si>
    <t xml:space="preserve">Input ₽/1M</t>
  </si>
  <si>
    <t xml:space="preserve">Output ₽/1M</t>
  </si>
  <si>
    <t xml:space="preserve">Тип</t>
  </si>
  <si>
    <t xml:space="preserve">Wormsoft</t>
  </si>
  <si>
    <t xml:space="preserve">Simple plan (любые модели в кредитах)</t>
  </si>
  <si>
    <t xml:space="preserve">Подписка 1500₽/мес</t>
  </si>
  <si>
    <t xml:space="preserve">500k кредитов / 5ч ≈ 72M кредитов/мес</t>
  </si>
  <si>
    <t xml:space="preserve">wormsoft/agent/medium (текст)</t>
  </si>
  <si>
    <t xml:space="preserve">Через подписку</t>
  </si>
  <si>
    <t xml:space="preserve">Эффективная цена внутри Simple</t>
  </si>
  <si>
    <t xml:space="preserve">qwen/qwen3-embedding:8b</t>
  </si>
  <si>
    <t xml:space="preserve">Embedding endpoint /api/gpt/embedding</t>
  </si>
  <si>
    <t xml:space="preserve">GigaChat</t>
  </si>
  <si>
    <t xml:space="preserve">GigaChat-2-Lite</t>
  </si>
  <si>
    <t xml:space="preserve">Pay-as-you-go</t>
  </si>
  <si>
    <t xml:space="preserve">Sber для физлиц после Feb-2026</t>
  </si>
  <si>
    <t xml:space="preserve">GigaChat-2-Pro</t>
  </si>
  <si>
    <t xml:space="preserve">Pay-as-you-go (3M за 1500₽)</t>
  </si>
  <si>
    <t xml:space="preserve">Используется для vision</t>
  </si>
  <si>
    <t xml:space="preserve">GigaChat-2-Max</t>
  </si>
  <si>
    <t xml:space="preserve">Не использовать в проде</t>
  </si>
  <si>
    <t xml:space="preserve">EmbeddingsGigaR</t>
  </si>
  <si>
    <t xml:space="preserve">2560d, 4096 ctx</t>
  </si>
  <si>
    <t xml:space="preserve">Polza.ai</t>
  </si>
  <si>
    <t xml:space="preserve">GPT-4o Mini</t>
  </si>
  <si>
    <t xml:space="preserve">Очень дёшево, без подписки</t>
  </si>
  <si>
    <t xml:space="preserve">Claude 4.5 Sonnet</t>
  </si>
  <si>
    <t xml:space="preserve">Дорого, только для премиум</t>
  </si>
  <si>
    <t xml:space="preserve">GigaChat-2 / Qwen</t>
  </si>
  <si>
    <t xml:space="preserve">Маркап ~5-10%</t>
  </si>
  <si>
    <t xml:space="preserve">VseLLM</t>
  </si>
  <si>
    <t xml:space="preserve">минимальные модели</t>
  </si>
  <si>
    <t xml:space="preserve">От 38₽/1M, ~10% ниже рынка</t>
  </si>
  <si>
    <t xml:space="preserve">Без VPN, в рублях</t>
  </si>
  <si>
    <t xml:space="preserve">Qwen3 VL 30B</t>
  </si>
  <si>
    <t xml:space="preserve">Vision-альтернатива</t>
  </si>
  <si>
    <t xml:space="preserve">OpenRouter</t>
  </si>
  <si>
    <t xml:space="preserve">Qwen3 VL 235B :free / Qwen3.6 Plus :free</t>
  </si>
  <si>
    <t xml:space="preserve">Free tier</t>
  </si>
  <si>
    <t xml:space="preserve">1000 RPD при $10+ deposit, 50 RPD без; 20 RPM</t>
  </si>
  <si>
    <t xml:space="preserve">DeepSeek R1 :free / Llama 3.3 70B :free</t>
  </si>
  <si>
    <t xml:space="preserve">Текст, тот же лимит</t>
  </si>
  <si>
    <t xml:space="preserve">Free embeddings</t>
  </si>
  <si>
    <t xml:space="preserve">—</t>
  </si>
  <si>
    <t xml:space="preserve">НЕ предоставляются (важный нюанс)</t>
  </si>
  <si>
    <t xml:space="preserve">Платные модели</t>
  </si>
  <si>
    <t xml:space="preserve">Когда free недоступен</t>
  </si>
  <si>
    <t xml:space="preserve">Сценарии стоимости (₽/месяц)</t>
  </si>
  <si>
    <t xml:space="preserve">Объёмы тянутся с листа Assumptions.</t>
  </si>
  <si>
    <t xml:space="preserve">S0: As-is
(Wormsoft+GigaPro)</t>
  </si>
  <si>
    <t xml:space="preserve">S1: GigaChat-only</t>
  </si>
  <si>
    <t xml:space="preserve">S2: Wormsoft+OR-free vision</t>
  </si>
  <si>
    <t xml:space="preserve">S3: Polza/VseLLM
pay-as-you-go</t>
  </si>
  <si>
    <t xml:space="preserve">S4: Гибрид
(рекомендуется)</t>
  </si>
  <si>
    <t xml:space="preserve">vision</t>
  </si>
  <si>
    <t xml:space="preserve">Variable cost</t>
  </si>
  <si>
    <t xml:space="preserve">Subscription / fixed (₽/мес)</t>
  </si>
  <si>
    <t xml:space="preserve">ИТОГО ₽/мес</t>
  </si>
  <si>
    <t xml:space="preserve">₽/день</t>
  </si>
  <si>
    <t xml:space="preserve">% от текущего (S0)</t>
  </si>
  <si>
    <t xml:space="preserve">Заметки</t>
  </si>
  <si>
    <t xml:space="preserve">S0 (As-is) — фактическая текущая конфигурация: Wormsoft Simple обслуживает основную текстовую обработку, GigaChat Pro используется для Vision (~2 пакета).</t>
  </si>
  <si>
    <t xml:space="preserve">S1 (GigaChat-only) — гипотетический максимум: всё на GigaChat. Показывает, сколько без подписки Wormsoft.</t>
  </si>
  <si>
    <t xml:space="preserve">S2 (Wormsoft + OpenRouter free vision) — vision на OpenRouter :free (Qwen3 VL 235B). Лимит 1000 RPD при $10+ deposit покрывает 150 vision/день с запасом. Риск: free может отвалиться.</t>
  </si>
  <si>
    <t xml:space="preserve">S3 (pay-as-you-go) — все потоки через Polza.ai или VseLLM на дешёвых моделях. Без подписок. Гибко, но без предсказуемости.</t>
  </si>
  <si>
    <t xml:space="preserve">S4 (Гибрид, рекомендуется) — Wormsoft Simple держит текст + embed; vision: 30% через GigaChat-2-Pro (premium источники), 70% через OpenRouter :free; средняя 150₽/1M.</t>
  </si>
  <si>
    <t xml:space="preserve">Vision-цены включают image input tokens (~2000/картинку для GigaChat).</t>
  </si>
  <si>
    <t xml:space="preserve">Embed для S0/S2/S4 = 0 (внутри Wormsoft Simple); для S1/S3 — отдельная плата 50₽/1M.</t>
  </si>
  <si>
    <t xml:space="preserve">Стратегия маршрутизации (S4 Гибрид)</t>
  </si>
  <si>
    <t xml:space="preserve">Primary</t>
  </si>
  <si>
    <t xml:space="preserve">Fallback 1</t>
  </si>
  <si>
    <t xml:space="preserve">Fallback 2</t>
  </si>
  <si>
    <t xml:space="preserve">Триггер fallback</t>
  </si>
  <si>
    <t xml:space="preserve">Комментарий</t>
  </si>
  <si>
    <t xml:space="preserve">relevance_concepts</t>
  </si>
  <si>
    <t xml:space="preserve">Wormsoft / wormsoft/agent/medium</t>
  </si>
  <si>
    <t xml:space="preserve">OpenRouter DeepSeek R1 :free</t>
  </si>
  <si>
    <t xml:space="preserve">429, latency &gt;5s</t>
  </si>
  <si>
    <t xml:space="preserve">Joint вызов экономит ~30% vs split. Уже есть в admin/llm_routing.</t>
  </si>
  <si>
    <t xml:space="preserve">Wormsoft / wormsoft/agent/small</t>
  </si>
  <si>
    <t xml:space="preserve">GigaChat-2</t>
  </si>
  <si>
    <t xml:space="preserve">OpenRouter Llama 3.3 70B :free</t>
  </si>
  <si>
    <t xml:space="preserve">429</t>
  </si>
  <si>
    <t xml:space="preserve">Лёгкая задача, OK на free</t>
  </si>
  <si>
    <t xml:space="preserve">Polza.ai Qwen-Plus</t>
  </si>
  <si>
    <t xml:space="preserve">Только если RC_JOINT отключен</t>
  </si>
  <si>
    <t xml:space="preserve">Wormsoft / wormsoft/agent/large</t>
  </si>
  <si>
    <t xml:space="preserve">Polza.ai Claude Haiku</t>
  </si>
  <si>
    <t xml:space="preserve">Качество ниже порога</t>
  </si>
  <si>
    <t xml:space="preserve">Синтез ответов в Claude-проектах</t>
  </si>
  <si>
    <t xml:space="preserve">Поисковые подсказки, нечастые</t>
  </si>
  <si>
    <t xml:space="preserve">Wormsoft / qwen/qwen3-embedding:8b</t>
  </si>
  <si>
    <t xml:space="preserve">GigaChat EmbeddingsGigaR</t>
  </si>
  <si>
    <t xml:space="preserve">Ошибка размерности</t>
  </si>
  <si>
    <t xml:space="preserve">Реиндекс при смене (EMBED_DIM)</t>
  </si>
  <si>
    <t xml:space="preserve">vision (premium 30%)</t>
  </si>
  <si>
    <t xml:space="preserve">GigaChat-2-Pro Vision</t>
  </si>
  <si>
    <t xml:space="preserve">Polza.ai GigaChat-2-Pro</t>
  </si>
  <si>
    <t xml:space="preserve">OpenRouter Qwen3 VL :free</t>
  </si>
  <si>
    <t xml:space="preserve">Источники с quality_tier=trusted</t>
  </si>
  <si>
    <t xml:space="preserve">Сохраняем качество для TechCrunch/WIRED</t>
  </si>
  <si>
    <t xml:space="preserve">vision (mass 70%)</t>
  </si>
  <si>
    <t xml:space="preserve">OpenRouter Qwen3 VL 235B :free</t>
  </si>
  <si>
    <t xml:space="preserve">OpenRouter Qwen3.6 Plus :free</t>
  </si>
  <si>
    <t xml:space="preserve">429 / 5xx</t>
  </si>
  <si>
    <t xml:space="preserve">Допустима небольшая просадка</t>
  </si>
  <si>
    <t xml:space="preserve">Где встроено и что докрутить</t>
  </si>
  <si>
    <t xml:space="preserve">shared/llm_routing.py уже умеет per-task provider+model+fallback (LLMRoutingSettings). Добавить fallback2_provider/fallback2_model.</t>
  </si>
  <si>
    <t xml:space="preserve">worker/llm_router_client.py: добавить адаптер OpenRouter поверх OpenAI-совместимого API. Похоже на wormsoft_client.py (~50-80 строк).</t>
  </si>
  <si>
    <t xml:space="preserve">admin/backend/services: создать openrouter_limits.py (счётчик RPD/RPM в Redis — у OR нет remaining endpoint). Бить 429 локально до отправки.</t>
  </si>
  <si>
    <t xml:space="preserve">config/enrichment_policy.yml: добавить vision_routing с правилом по quality_tier (trusted → giga_pro, exploratory → openrouter_free).</t>
  </si>
  <si>
    <t xml:space="preserve">Метрики Prometheus: фасет provider в llm_request_total / llm_fallback_total для openrouter.</t>
  </si>
  <si>
    <t xml:space="preserve">Алерты: OpenRouter 429 burst &gt; 50/час → runtime override через RUNTIME_LLM_ROUTING_REDIS_KEY переключает primary на GigaChat Pro.</t>
  </si>
  <si>
    <t xml:space="preserve">OpenRouter :free — реалии и риски</t>
  </si>
  <si>
    <t xml:space="preserve">Что это значит для нас</t>
  </si>
  <si>
    <t xml:space="preserve">RPD без депозита</t>
  </si>
  <si>
    <t xml:space="preserve">50/день</t>
  </si>
  <si>
    <t xml:space="preserve">Бесполезно для прода</t>
  </si>
  <si>
    <t xml:space="preserve">RPD при $10+ депозите</t>
  </si>
  <si>
    <t xml:space="preserve">1000/день</t>
  </si>
  <si>
    <t xml:space="preserve">Покрывает 30k запросов/мес — достаточно для vision (5k/мес) с запасом</t>
  </si>
  <si>
    <t xml:space="preserve">RPM</t>
  </si>
  <si>
    <t xml:space="preserve">20/мин</t>
  </si>
  <si>
    <t xml:space="preserve">При burst 500 vision/час — нужен throttle на нашей стороне</t>
  </si>
  <si>
    <t xml:space="preserve">Failed attempts</t>
  </si>
  <si>
    <t xml:space="preserve">Считаются в RPD</t>
  </si>
  <si>
    <t xml:space="preserve">Учитывать в счётчике, иначе 5xx-цикл съест бюджет</t>
  </si>
  <si>
    <t xml:space="preserve">Free preview status</t>
  </si>
  <si>
    <t xml:space="preserve">Может закончиться без warning</t>
  </si>
  <si>
    <t xml:space="preserve">Мониторить /api/v1/models раз в час</t>
  </si>
  <si>
    <t xml:space="preserve">Shared capacity</t>
  </si>
  <si>
    <t xml:space="preserve">Throttle при peak</t>
  </si>
  <si>
    <t xml:space="preserve">Latency может скакать до 30+ сек</t>
  </si>
  <si>
    <t xml:space="preserve">Embeddings</t>
  </si>
  <si>
    <t xml:space="preserve">НЕТ free embeddings</t>
  </si>
  <si>
    <t xml:space="preserve">Embed остаётся на Wormsoft qwen или GigaChat</t>
  </si>
  <si>
    <t xml:space="preserve">Vision quality</t>
  </si>
  <si>
    <t xml:space="preserve">Qwen3 VL 235B ~ GigaChat Pro</t>
  </si>
  <si>
    <t xml:space="preserve">OK для массовых; для trusted — Giga Pro</t>
  </si>
  <si>
    <t xml:space="preserve">Privacy / ToS</t>
  </si>
  <si>
    <t xml:space="preserve">Запросы могут логироваться</t>
  </si>
  <si>
    <t xml:space="preserve">Не отправлять чувствительный контент; для публичных постов — ок</t>
  </si>
  <si>
    <t xml:space="preserve">Депозит $10 ≈ 900₽</t>
  </si>
  <si>
    <t xml:space="preserve">Единоразово</t>
  </si>
  <si>
    <t xml:space="preserve">Окупается за 1 мес. Не «кредит на запросы», только разблокирует 1000 RPD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</si>
</sst>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4"/>
    <col collapsed="false" customWidth="true" hidden="false" outlineLevel="0" max="4" min="4" style="1" width="4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1" t="s">
        <v>5</v>
      </c>
      <c r="B5" s="5" t="n">
        <v>47</v>
      </c>
      <c r="C5" s="1" t="s">
        <v>6</v>
      </c>
    </row>
    <row r="6" customFormat="false" ht="15" hidden="false" customHeight="true" outlineLevel="0" collapsed="false">
      <c r="A6" s="1" t="s">
        <v>7</v>
      </c>
      <c r="B6" s="6" t="n">
        <v>500</v>
      </c>
      <c r="C6" s="1" t="s">
        <v>8</v>
      </c>
    </row>
    <row r="7" customFormat="false" ht="15" hidden="false" customHeight="true" outlineLevel="0" collapsed="false">
      <c r="A7" s="1" t="s">
        <v>9</v>
      </c>
      <c r="B7" s="1" t="n">
        <f aca="false">B6*30</f>
        <v>15000</v>
      </c>
      <c r="C7" s="1" t="s">
        <v>10</v>
      </c>
    </row>
    <row r="8" customFormat="false" ht="15" hidden="false" customHeight="true" outlineLevel="0" collapsed="false">
      <c r="A8" s="1" t="s">
        <v>11</v>
      </c>
      <c r="B8" s="7" t="n">
        <f aca="false">B7*0.3</f>
        <v>4500</v>
      </c>
      <c r="C8" s="1" t="s">
        <v>12</v>
      </c>
    </row>
    <row r="9" customFormat="false" ht="15" hidden="false" customHeight="true" outlineLevel="0" collapsed="false">
      <c r="A9" s="1" t="s">
        <v>13</v>
      </c>
      <c r="B9" s="6" t="n">
        <v>1500</v>
      </c>
      <c r="C9" s="1" t="s">
        <v>14</v>
      </c>
    </row>
    <row r="10" customFormat="false" ht="15" hidden="false" customHeight="true" outlineLevel="0" collapsed="false">
      <c r="A10" s="1" t="s">
        <v>15</v>
      </c>
      <c r="B10" s="6" t="n">
        <v>600</v>
      </c>
      <c r="C10" s="1" t="s">
        <v>16</v>
      </c>
    </row>
    <row r="12" customFormat="false" ht="15" hidden="false" customHeight="true" outlineLevel="0" collapsed="false">
      <c r="A12" s="3" t="s">
        <v>17</v>
      </c>
      <c r="B12" s="3"/>
      <c r="C12" s="3"/>
      <c r="D12" s="3"/>
    </row>
    <row r="13" customFormat="false" ht="15" hidden="false" customHeight="true" outlineLevel="0" collapsed="false">
      <c r="A13" s="4" t="s">
        <v>18</v>
      </c>
      <c r="B13" s="4" t="s">
        <v>19</v>
      </c>
      <c r="C13" s="4" t="s">
        <v>20</v>
      </c>
      <c r="D13" s="4" t="s">
        <v>21</v>
      </c>
    </row>
    <row r="14" customFormat="false" ht="15" hidden="false" customHeight="true" outlineLevel="0" collapsed="false">
      <c r="A14" s="1" t="s">
        <v>22</v>
      </c>
      <c r="B14" s="5" t="n">
        <v>1800</v>
      </c>
      <c r="C14" s="5" t="n">
        <v>300</v>
      </c>
      <c r="D14" s="1" t="s">
        <v>23</v>
      </c>
    </row>
    <row r="15" customFormat="false" ht="15" hidden="false" customHeight="true" outlineLevel="0" collapsed="false">
      <c r="A15" s="1" t="s">
        <v>24</v>
      </c>
      <c r="B15" s="5" t="n">
        <v>1500</v>
      </c>
      <c r="C15" s="5" t="n">
        <v>200</v>
      </c>
      <c r="D15" s="1" t="s">
        <v>25</v>
      </c>
    </row>
    <row r="16" customFormat="false" ht="15" hidden="false" customHeight="true" outlineLevel="0" collapsed="false">
      <c r="A16" s="1" t="s">
        <v>26</v>
      </c>
      <c r="B16" s="5" t="n">
        <v>1500</v>
      </c>
      <c r="C16" s="5" t="n">
        <v>250</v>
      </c>
      <c r="D16" s="1" t="s">
        <v>27</v>
      </c>
    </row>
    <row r="17" customFormat="false" ht="15" hidden="false" customHeight="true" outlineLevel="0" collapsed="false">
      <c r="A17" s="1" t="s">
        <v>28</v>
      </c>
      <c r="B17" s="5" t="n">
        <v>1200</v>
      </c>
      <c r="C17" s="5" t="n">
        <v>200</v>
      </c>
      <c r="D17" s="1" t="s">
        <v>29</v>
      </c>
    </row>
    <row r="18" customFormat="false" ht="15" hidden="false" customHeight="true" outlineLevel="0" collapsed="false">
      <c r="A18" s="1" t="s">
        <v>30</v>
      </c>
      <c r="B18" s="5" t="n">
        <v>1200</v>
      </c>
      <c r="C18" s="5" t="n">
        <v>0</v>
      </c>
      <c r="D18" s="1" t="s">
        <v>31</v>
      </c>
    </row>
    <row r="19" customFormat="false" ht="15" hidden="false" customHeight="true" outlineLevel="0" collapsed="false">
      <c r="A19" s="1" t="s">
        <v>32</v>
      </c>
      <c r="B19" s="5" t="n">
        <v>2600</v>
      </c>
      <c r="C19" s="5" t="n">
        <v>400</v>
      </c>
      <c r="D19" s="1" t="s">
        <v>33</v>
      </c>
    </row>
    <row r="20" customFormat="false" ht="15" hidden="false" customHeight="true" outlineLevel="0" collapsed="false">
      <c r="A20" s="1" t="s">
        <v>34</v>
      </c>
      <c r="B20" s="5" t="n">
        <v>4000</v>
      </c>
      <c r="C20" s="5" t="n">
        <v>1500</v>
      </c>
      <c r="D20" s="1" t="s">
        <v>35</v>
      </c>
    </row>
    <row r="21" customFormat="false" ht="15" hidden="false" customHeight="true" outlineLevel="0" collapsed="false">
      <c r="A21" s="1" t="s">
        <v>36</v>
      </c>
      <c r="B21" s="5" t="n">
        <v>5000</v>
      </c>
      <c r="C21" s="5" t="n">
        <v>1000</v>
      </c>
      <c r="D21" s="1" t="s">
        <v>37</v>
      </c>
    </row>
    <row r="24" customFormat="false" ht="15" hidden="false" customHeight="true" outlineLevel="0" collapsed="false">
      <c r="A24" s="3" t="s">
        <v>38</v>
      </c>
      <c r="B24" s="3"/>
      <c r="C24" s="3"/>
      <c r="D24" s="3"/>
    </row>
    <row r="25" customFormat="false" ht="15" hidden="false" customHeight="true" outlineLevel="0" collapsed="false">
      <c r="A25" s="4" t="s">
        <v>39</v>
      </c>
      <c r="B25" s="4" t="s">
        <v>40</v>
      </c>
      <c r="C25" s="4" t="s">
        <v>41</v>
      </c>
      <c r="D25" s="4" t="s">
        <v>42</v>
      </c>
    </row>
    <row r="26" customFormat="false" ht="15" hidden="false" customHeight="true" outlineLevel="0" collapsed="false">
      <c r="A26" s="1" t="s">
        <v>43</v>
      </c>
      <c r="B26" s="1" t="n">
        <f aca="false">B7*B14/1000000</f>
        <v>27</v>
      </c>
      <c r="C26" s="1" t="n">
        <f aca="false">B7*C14/1000000</f>
        <v>4.5</v>
      </c>
      <c r="D26" s="1" t="s">
        <v>44</v>
      </c>
    </row>
    <row r="27" customFormat="false" ht="15" hidden="false" customHeight="true" outlineLevel="0" collapsed="false">
      <c r="A27" s="1" t="s">
        <v>28</v>
      </c>
      <c r="B27" s="1" t="n">
        <f aca="false">B7*B17/1000000</f>
        <v>18</v>
      </c>
      <c r="C27" s="1" t="n">
        <f aca="false">B7*C17/1000000</f>
        <v>3</v>
      </c>
    </row>
    <row r="28" customFormat="false" ht="15" hidden="false" customHeight="true" outlineLevel="0" collapsed="false">
      <c r="A28" s="1" t="s">
        <v>45</v>
      </c>
      <c r="B28" s="1" t="n">
        <f aca="false">B7*B18/1000000</f>
        <v>18</v>
      </c>
      <c r="C28" s="1" t="n">
        <v>0</v>
      </c>
    </row>
    <row r="29" customFormat="false" ht="15" hidden="false" customHeight="true" outlineLevel="0" collapsed="false">
      <c r="A29" s="1" t="s">
        <v>46</v>
      </c>
      <c r="B29" s="1" t="n">
        <f aca="false">B8*B19/1000000</f>
        <v>11.7</v>
      </c>
      <c r="C29" s="1" t="n">
        <f aca="false">B8*C19/1000000</f>
        <v>1.8</v>
      </c>
    </row>
    <row r="30" customFormat="false" ht="15" hidden="false" customHeight="true" outlineLevel="0" collapsed="false">
      <c r="A30" s="1" t="s">
        <v>34</v>
      </c>
      <c r="B30" s="1" t="n">
        <f aca="false">B9*B20/1000000</f>
        <v>6</v>
      </c>
      <c r="C30" s="1" t="n">
        <f aca="false">B9*C20/1000000</f>
        <v>2.25</v>
      </c>
    </row>
    <row r="31" customFormat="false" ht="15" hidden="false" customHeight="true" outlineLevel="0" collapsed="false">
      <c r="A31" s="1" t="s">
        <v>47</v>
      </c>
      <c r="B31" s="1" t="n">
        <f aca="false">B10*B21/1000000</f>
        <v>3</v>
      </c>
      <c r="C31" s="1" t="n">
        <f aca="false">B10*C21/1000000</f>
        <v>0.6</v>
      </c>
    </row>
    <row r="32" customFormat="false" ht="15" hidden="false" customHeight="true" outlineLevel="0" collapsed="false">
      <c r="A32" s="8" t="s">
        <v>48</v>
      </c>
      <c r="B32" s="8" t="n">
        <f aca="false">SUM(B26:B31)</f>
        <v>83.7</v>
      </c>
      <c r="C32" s="8" t="n">
        <f aca="false">SUM(C26:C31)</f>
        <v>12.15</v>
      </c>
    </row>
  </sheetData>
  <mergeCells count="4">
    <mergeCell ref="A1:D1"/>
    <mergeCell ref="A3:D3"/>
    <mergeCell ref="A12:D12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4" min="3" style="1" width="12"/>
    <col collapsed="false" customWidth="true" hidden="false" outlineLevel="0" max="5" min="5" style="1" width="28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49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4</v>
      </c>
    </row>
    <row r="4" customFormat="false" ht="15" hidden="false" customHeight="true" outlineLevel="0" collapsed="false">
      <c r="A4" s="1" t="s">
        <v>55</v>
      </c>
      <c r="B4" s="1" t="s">
        <v>56</v>
      </c>
      <c r="C4" s="5" t="n">
        <v>0</v>
      </c>
      <c r="D4" s="5" t="n">
        <v>0</v>
      </c>
      <c r="E4" s="1" t="s">
        <v>57</v>
      </c>
      <c r="F4" s="1" t="s">
        <v>58</v>
      </c>
    </row>
    <row r="5" customFormat="false" ht="15" hidden="false" customHeight="true" outlineLevel="0" collapsed="false">
      <c r="A5" s="1" t="s">
        <v>55</v>
      </c>
      <c r="B5" s="1" t="s">
        <v>59</v>
      </c>
      <c r="C5" s="5" t="n">
        <v>100</v>
      </c>
      <c r="D5" s="5" t="n">
        <v>200</v>
      </c>
      <c r="E5" s="1" t="s">
        <v>60</v>
      </c>
      <c r="F5" s="1" t="s">
        <v>61</v>
      </c>
    </row>
    <row r="6" customFormat="false" ht="15" hidden="false" customHeight="true" outlineLevel="0" collapsed="false">
      <c r="A6" s="1" t="s">
        <v>55</v>
      </c>
      <c r="B6" s="1" t="s">
        <v>62</v>
      </c>
      <c r="C6" s="5" t="n">
        <v>50</v>
      </c>
      <c r="D6" s="5" t="n">
        <v>0</v>
      </c>
      <c r="E6" s="1" t="s">
        <v>60</v>
      </c>
      <c r="F6" s="1" t="s">
        <v>63</v>
      </c>
    </row>
    <row r="7" customFormat="false" ht="15" hidden="false" customHeight="true" outlineLevel="0" collapsed="false">
      <c r="A7" s="1" t="s">
        <v>64</v>
      </c>
      <c r="B7" s="1" t="s">
        <v>65</v>
      </c>
      <c r="C7" s="5" t="n">
        <v>200</v>
      </c>
      <c r="D7" s="5" t="n">
        <v>200</v>
      </c>
      <c r="E7" s="1" t="s">
        <v>66</v>
      </c>
      <c r="F7" s="1" t="s">
        <v>67</v>
      </c>
    </row>
    <row r="8" customFormat="false" ht="15" hidden="false" customHeight="true" outlineLevel="0" collapsed="false">
      <c r="A8" s="1" t="s">
        <v>64</v>
      </c>
      <c r="B8" s="1" t="s">
        <v>68</v>
      </c>
      <c r="C8" s="5" t="n">
        <v>500</v>
      </c>
      <c r="D8" s="5" t="n">
        <v>500</v>
      </c>
      <c r="E8" s="1" t="s">
        <v>69</v>
      </c>
      <c r="F8" s="1" t="s">
        <v>70</v>
      </c>
    </row>
    <row r="9" customFormat="false" ht="15" hidden="false" customHeight="true" outlineLevel="0" collapsed="false">
      <c r="A9" s="1" t="s">
        <v>64</v>
      </c>
      <c r="B9" s="1" t="s">
        <v>71</v>
      </c>
      <c r="C9" s="5" t="n">
        <v>1500</v>
      </c>
      <c r="D9" s="5" t="n">
        <v>1500</v>
      </c>
      <c r="E9" s="1" t="s">
        <v>66</v>
      </c>
      <c r="F9" s="1" t="s">
        <v>72</v>
      </c>
    </row>
    <row r="10" customFormat="false" ht="15" hidden="false" customHeight="true" outlineLevel="0" collapsed="false">
      <c r="A10" s="1" t="s">
        <v>64</v>
      </c>
      <c r="B10" s="1" t="s">
        <v>73</v>
      </c>
      <c r="C10" s="5" t="n">
        <v>50</v>
      </c>
      <c r="D10" s="5" t="n">
        <v>0</v>
      </c>
      <c r="E10" s="1" t="s">
        <v>66</v>
      </c>
      <c r="F10" s="1" t="s">
        <v>74</v>
      </c>
    </row>
    <row r="11" customFormat="false" ht="15" hidden="false" customHeight="true" outlineLevel="0" collapsed="false">
      <c r="A11" s="1" t="s">
        <v>75</v>
      </c>
      <c r="B11" s="1" t="s">
        <v>76</v>
      </c>
      <c r="C11" s="5" t="n">
        <v>13</v>
      </c>
      <c r="D11" s="5" t="n">
        <v>53</v>
      </c>
      <c r="E11" s="1" t="s">
        <v>66</v>
      </c>
      <c r="F11" s="1" t="s">
        <v>77</v>
      </c>
    </row>
    <row r="12" customFormat="false" ht="15" hidden="false" customHeight="true" outlineLevel="0" collapsed="false">
      <c r="A12" s="1" t="s">
        <v>75</v>
      </c>
      <c r="B12" s="1" t="s">
        <v>78</v>
      </c>
      <c r="C12" s="5" t="n">
        <v>264</v>
      </c>
      <c r="D12" s="5" t="n">
        <v>1318</v>
      </c>
      <c r="E12" s="1" t="s">
        <v>66</v>
      </c>
      <c r="F12" s="1" t="s">
        <v>79</v>
      </c>
    </row>
    <row r="13" customFormat="false" ht="15" hidden="false" customHeight="true" outlineLevel="0" collapsed="false">
      <c r="A13" s="1" t="s">
        <v>75</v>
      </c>
      <c r="B13" s="1" t="s">
        <v>80</v>
      </c>
      <c r="C13" s="5" t="n">
        <v>50</v>
      </c>
      <c r="D13" s="5" t="n">
        <v>100</v>
      </c>
      <c r="E13" s="1" t="s">
        <v>66</v>
      </c>
      <c r="F13" s="1" t="s">
        <v>81</v>
      </c>
    </row>
    <row r="14" customFormat="false" ht="15" hidden="false" customHeight="true" outlineLevel="0" collapsed="false">
      <c r="A14" s="1" t="s">
        <v>82</v>
      </c>
      <c r="B14" s="1" t="s">
        <v>83</v>
      </c>
      <c r="C14" s="5" t="n">
        <v>38</v>
      </c>
      <c r="D14" s="5" t="n">
        <v>50</v>
      </c>
      <c r="E14" s="1" t="s">
        <v>66</v>
      </c>
      <c r="F14" s="1" t="s">
        <v>84</v>
      </c>
    </row>
    <row r="15" customFormat="false" ht="15" hidden="false" customHeight="true" outlineLevel="0" collapsed="false">
      <c r="A15" s="1" t="s">
        <v>82</v>
      </c>
      <c r="B15" s="1" t="s">
        <v>71</v>
      </c>
      <c r="C15" s="5" t="n">
        <v>650</v>
      </c>
      <c r="D15" s="5" t="n">
        <v>650</v>
      </c>
      <c r="E15" s="1" t="s">
        <v>66</v>
      </c>
      <c r="F15" s="1" t="s">
        <v>85</v>
      </c>
    </row>
    <row r="16" customFormat="false" ht="15" hidden="false" customHeight="true" outlineLevel="0" collapsed="false">
      <c r="A16" s="1" t="s">
        <v>82</v>
      </c>
      <c r="B16" s="1" t="s">
        <v>86</v>
      </c>
      <c r="C16" s="5" t="n">
        <v>80</v>
      </c>
      <c r="D16" s="5" t="n">
        <v>200</v>
      </c>
      <c r="E16" s="1" t="s">
        <v>66</v>
      </c>
      <c r="F16" s="1" t="s">
        <v>87</v>
      </c>
    </row>
    <row r="17" customFormat="false" ht="15" hidden="false" customHeight="true" outlineLevel="0" collapsed="false">
      <c r="A17" s="1" t="s">
        <v>88</v>
      </c>
      <c r="B17" s="1" t="s">
        <v>89</v>
      </c>
      <c r="C17" s="5" t="n">
        <v>0</v>
      </c>
      <c r="D17" s="5" t="n">
        <v>0</v>
      </c>
      <c r="E17" s="1" t="s">
        <v>90</v>
      </c>
      <c r="F17" s="1" t="s">
        <v>91</v>
      </c>
    </row>
    <row r="18" customFormat="false" ht="15" hidden="false" customHeight="true" outlineLevel="0" collapsed="false">
      <c r="A18" s="1" t="s">
        <v>88</v>
      </c>
      <c r="B18" s="1" t="s">
        <v>92</v>
      </c>
      <c r="C18" s="5" t="n">
        <v>0</v>
      </c>
      <c r="D18" s="5" t="n">
        <v>0</v>
      </c>
      <c r="E18" s="1" t="s">
        <v>90</v>
      </c>
      <c r="F18" s="1" t="s">
        <v>93</v>
      </c>
    </row>
    <row r="19" customFormat="false" ht="15" hidden="false" customHeight="true" outlineLevel="0" collapsed="false">
      <c r="A19" s="1" t="s">
        <v>88</v>
      </c>
      <c r="B19" s="1" t="s">
        <v>94</v>
      </c>
      <c r="C19" s="5" t="n">
        <v>0</v>
      </c>
      <c r="D19" s="5" t="n">
        <v>0</v>
      </c>
      <c r="E19" s="1" t="s">
        <v>95</v>
      </c>
      <c r="F19" s="1" t="s">
        <v>96</v>
      </c>
    </row>
    <row r="20" customFormat="false" ht="15" hidden="false" customHeight="true" outlineLevel="0" collapsed="false">
      <c r="A20" s="1" t="s">
        <v>88</v>
      </c>
      <c r="B20" s="1" t="s">
        <v>97</v>
      </c>
      <c r="C20" s="5" t="n">
        <v>5</v>
      </c>
      <c r="D20" s="5" t="n">
        <v>15</v>
      </c>
      <c r="E20" s="1" t="s">
        <v>66</v>
      </c>
      <c r="F20" s="1" t="s">
        <v>98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0"/>
    <col collapsed="false" customWidth="true" hidden="false" outlineLevel="0" max="5" min="4" style="1" width="18"/>
    <col collapsed="false" customWidth="true" hidden="false" outlineLevel="0" max="8" min="6" style="1" width="22"/>
  </cols>
  <sheetData>
    <row r="1" customFormat="false" ht="17.25" hidden="false" customHeight="true" outlineLevel="0" collapsed="false">
      <c r="A1" s="2" t="s">
        <v>99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9" t="s">
        <v>100</v>
      </c>
      <c r="B3" s="9"/>
      <c r="C3" s="9"/>
      <c r="D3" s="9"/>
      <c r="E3" s="9"/>
      <c r="F3" s="9"/>
      <c r="G3" s="9"/>
      <c r="H3" s="9"/>
    </row>
    <row r="5" customFormat="false" ht="36" hidden="false" customHeight="true" outlineLevel="0" collapsed="false">
      <c r="A5" s="10" t="s">
        <v>39</v>
      </c>
      <c r="B5" s="10" t="s">
        <v>40</v>
      </c>
      <c r="C5" s="10" t="s">
        <v>41</v>
      </c>
      <c r="D5" s="10" t="s">
        <v>101</v>
      </c>
      <c r="E5" s="10" t="s">
        <v>102</v>
      </c>
      <c r="F5" s="10" t="s">
        <v>103</v>
      </c>
      <c r="G5" s="10" t="s">
        <v>104</v>
      </c>
      <c r="H5" s="10" t="s">
        <v>105</v>
      </c>
    </row>
    <row r="6" customFormat="false" ht="15" hidden="false" customHeight="true" outlineLevel="0" collapsed="false">
      <c r="A6" s="1" t="s">
        <v>43</v>
      </c>
      <c r="B6" s="1" t="n">
        <f aca="false">Assumptions!B26</f>
        <v>27</v>
      </c>
      <c r="C6" s="1" t="n">
        <f aca="false">Assumptions!C26</f>
        <v>4.5</v>
      </c>
      <c r="D6" s="1" t="n">
        <f aca="false">B6*0+C6*0</f>
        <v>0</v>
      </c>
      <c r="E6" s="1" t="n">
        <f aca="false">B6*200+C6*200</f>
        <v>6300</v>
      </c>
      <c r="F6" s="1" t="n">
        <f aca="false">B6*0+C6*0</f>
        <v>0</v>
      </c>
      <c r="G6" s="1" t="n">
        <f aca="false">B6*80+C6*120</f>
        <v>2700</v>
      </c>
      <c r="H6" s="1" t="n">
        <f aca="false">B6*0+C6*0</f>
        <v>0</v>
      </c>
    </row>
    <row r="7" customFormat="false" ht="15" hidden="false" customHeight="true" outlineLevel="0" collapsed="false">
      <c r="A7" s="1" t="s">
        <v>28</v>
      </c>
      <c r="B7" s="1" t="n">
        <f aca="false">Assumptions!B27</f>
        <v>18</v>
      </c>
      <c r="C7" s="1" t="n">
        <f aca="false">Assumptions!C27</f>
        <v>3</v>
      </c>
      <c r="D7" s="1" t="n">
        <f aca="false">B7*0+C7*0</f>
        <v>0</v>
      </c>
      <c r="E7" s="1" t="n">
        <f aca="false">B7*200+C7*200</f>
        <v>4200</v>
      </c>
      <c r="F7" s="1" t="n">
        <f aca="false">B7*0+C7*0</f>
        <v>0</v>
      </c>
      <c r="G7" s="1" t="n">
        <f aca="false">B7*80+C7*120</f>
        <v>1800</v>
      </c>
      <c r="H7" s="1" t="n">
        <f aca="false">B7*0+C7*0</f>
        <v>0</v>
      </c>
    </row>
    <row r="8" customFormat="false" ht="15" hidden="false" customHeight="true" outlineLevel="0" collapsed="false">
      <c r="A8" s="1" t="s">
        <v>45</v>
      </c>
      <c r="B8" s="1" t="n">
        <f aca="false">Assumptions!B28</f>
        <v>18</v>
      </c>
      <c r="C8" s="1" t="n">
        <f aca="false">Assumptions!C28</f>
        <v>0</v>
      </c>
      <c r="D8" s="1" t="n">
        <f aca="false">B8*0+C8*0</f>
        <v>0</v>
      </c>
      <c r="E8" s="1" t="n">
        <f aca="false">B8*50+C8*0</f>
        <v>900</v>
      </c>
      <c r="F8" s="1" t="n">
        <f aca="false">B8*0+C8*0</f>
        <v>0</v>
      </c>
      <c r="G8" s="1" t="n">
        <f aca="false">B8*50+C8*0</f>
        <v>900</v>
      </c>
      <c r="H8" s="1" t="n">
        <f aca="false">B8*0+C8*0</f>
        <v>0</v>
      </c>
    </row>
    <row r="9" customFormat="false" ht="15" hidden="false" customHeight="true" outlineLevel="0" collapsed="false">
      <c r="A9" s="1" t="s">
        <v>106</v>
      </c>
      <c r="B9" s="1" t="n">
        <f aca="false">Assumptions!B29</f>
        <v>11.7</v>
      </c>
      <c r="C9" s="1" t="n">
        <f aca="false">Assumptions!C29</f>
        <v>1.8</v>
      </c>
      <c r="D9" s="1" t="n">
        <f aca="false">B9*500+C9*500</f>
        <v>6750</v>
      </c>
      <c r="E9" s="1" t="n">
        <f aca="false">B9*500+C9*500</f>
        <v>6750</v>
      </c>
      <c r="F9" s="1" t="n">
        <f aca="false">B9*0+C9*0</f>
        <v>0</v>
      </c>
      <c r="G9" s="1" t="n">
        <f aca="false">B9*80+C9*200</f>
        <v>1296</v>
      </c>
      <c r="H9" s="1" t="n">
        <f aca="false">B9*150+C9*150</f>
        <v>2025</v>
      </c>
    </row>
    <row r="10" customFormat="false" ht="15" hidden="false" customHeight="true" outlineLevel="0" collapsed="false">
      <c r="A10" s="1" t="s">
        <v>34</v>
      </c>
      <c r="B10" s="1" t="n">
        <f aca="false">Assumptions!B30</f>
        <v>6</v>
      </c>
      <c r="C10" s="1" t="n">
        <f aca="false">Assumptions!C30</f>
        <v>2.25</v>
      </c>
      <c r="D10" s="1" t="n">
        <f aca="false">B10*0+C10*0</f>
        <v>0</v>
      </c>
      <c r="E10" s="1" t="n">
        <f aca="false">B10*500+C10*500</f>
        <v>4125</v>
      </c>
      <c r="F10" s="1" t="n">
        <f aca="false">B10*0+C10*0</f>
        <v>0</v>
      </c>
      <c r="G10" s="1" t="n">
        <f aca="false">B10*80+C10*120</f>
        <v>750</v>
      </c>
      <c r="H10" s="1" t="n">
        <f aca="false">B10*0+C10*0</f>
        <v>0</v>
      </c>
    </row>
    <row r="11" customFormat="false" ht="15" hidden="false" customHeight="true" outlineLevel="0" collapsed="false">
      <c r="A11" s="1" t="s">
        <v>47</v>
      </c>
      <c r="B11" s="1" t="n">
        <f aca="false">Assumptions!B31</f>
        <v>3</v>
      </c>
      <c r="C11" s="1" t="n">
        <f aca="false">Assumptions!C31</f>
        <v>0.6</v>
      </c>
      <c r="D11" s="1" t="n">
        <f aca="false">B11*0+C11*0</f>
        <v>0</v>
      </c>
      <c r="E11" s="1" t="n">
        <f aca="false">B11*200+C11*200</f>
        <v>720</v>
      </c>
      <c r="F11" s="1" t="n">
        <f aca="false">B11*0+C11*0</f>
        <v>0</v>
      </c>
      <c r="G11" s="1" t="n">
        <f aca="false">B11*80+C11*120</f>
        <v>312</v>
      </c>
      <c r="H11" s="1" t="n">
        <f aca="false">B11*0+C11*0</f>
        <v>0</v>
      </c>
    </row>
    <row r="12" customFormat="false" ht="15" hidden="false" customHeight="true" outlineLevel="0" collapsed="false">
      <c r="A12" s="8" t="s">
        <v>107</v>
      </c>
      <c r="D12" s="8" t="n">
        <f aca="false">SUM(D6:D11)</f>
        <v>6750</v>
      </c>
      <c r="E12" s="8" t="n">
        <f aca="false">SUM(E6:E11)</f>
        <v>22995</v>
      </c>
      <c r="F12" s="8" t="n">
        <f aca="false">SUM(F6:F11)</f>
        <v>0</v>
      </c>
      <c r="G12" s="8" t="n">
        <f aca="false">SUM(G6:G11)</f>
        <v>7758</v>
      </c>
      <c r="H12" s="8" t="n">
        <f aca="false">SUM(H6:H11)</f>
        <v>2025</v>
      </c>
    </row>
    <row r="13" customFormat="false" ht="15" hidden="false" customHeight="true" outlineLevel="0" collapsed="false">
      <c r="A13" s="8" t="s">
        <v>108</v>
      </c>
      <c r="D13" s="5" t="n">
        <v>1500</v>
      </c>
      <c r="E13" s="5" t="n">
        <v>0</v>
      </c>
      <c r="F13" s="5" t="n">
        <v>1500</v>
      </c>
      <c r="G13" s="5" t="n">
        <v>0</v>
      </c>
      <c r="H13" s="5" t="n">
        <v>1600</v>
      </c>
    </row>
    <row r="15" customFormat="false" ht="15" hidden="false" customHeight="true" outlineLevel="0" collapsed="false">
      <c r="A15" s="11" t="s">
        <v>109</v>
      </c>
      <c r="D15" s="12" t="n">
        <f aca="false">D12+D13</f>
        <v>8250</v>
      </c>
      <c r="E15" s="12" t="n">
        <f aca="false">E12+E13</f>
        <v>22995</v>
      </c>
      <c r="F15" s="12" t="n">
        <f aca="false">F12+F13</f>
        <v>1500</v>
      </c>
      <c r="G15" s="12" t="n">
        <f aca="false">G12+G13</f>
        <v>7758</v>
      </c>
      <c r="H15" s="12" t="n">
        <f aca="false">H12+H13</f>
        <v>3625</v>
      </c>
    </row>
    <row r="16" customFormat="false" ht="15" hidden="false" customHeight="true" outlineLevel="0" collapsed="false">
      <c r="A16" s="8" t="s">
        <v>110</v>
      </c>
      <c r="D16" s="1" t="n">
        <f aca="false">D15/30</f>
        <v>275</v>
      </c>
      <c r="E16" s="1" t="n">
        <f aca="false">E15/30</f>
        <v>766.5</v>
      </c>
      <c r="F16" s="1" t="n">
        <f aca="false">F15/30</f>
        <v>50</v>
      </c>
      <c r="G16" s="1" t="n">
        <f aca="false">G15/30</f>
        <v>258.6</v>
      </c>
      <c r="H16" s="1" t="n">
        <f aca="false">H15/30</f>
        <v>120.833333333333</v>
      </c>
    </row>
    <row r="17" customFormat="false" ht="15" hidden="false" customHeight="true" outlineLevel="0" collapsed="false">
      <c r="A17" s="8" t="s">
        <v>111</v>
      </c>
      <c r="D17" s="13" t="n">
        <f aca="false">D15/$D$15</f>
        <v>1</v>
      </c>
      <c r="E17" s="13" t="n">
        <f aca="false">E15/$D$15</f>
        <v>2.78727272727273</v>
      </c>
      <c r="F17" s="13" t="n">
        <f aca="false">F15/$D$15</f>
        <v>0.181818181818182</v>
      </c>
      <c r="G17" s="13" t="n">
        <f aca="false">G15/$D$15</f>
        <v>0.940363636363636</v>
      </c>
      <c r="H17" s="13" t="n">
        <f aca="false">H15/$D$15</f>
        <v>0.439393939393939</v>
      </c>
    </row>
    <row r="19" customFormat="false" ht="15" hidden="false" customHeight="true" outlineLevel="0" collapsed="false">
      <c r="A19" s="3" t="s">
        <v>112</v>
      </c>
      <c r="B19" s="3"/>
      <c r="C19" s="3"/>
      <c r="D19" s="3"/>
      <c r="E19" s="3"/>
      <c r="F19" s="3"/>
      <c r="G19" s="3"/>
      <c r="H19" s="3"/>
    </row>
    <row r="20" customFormat="false" ht="31.5" hidden="false" customHeight="true" outlineLevel="0" collapsed="false">
      <c r="A20" s="14" t="s">
        <v>113</v>
      </c>
      <c r="B20" s="14"/>
      <c r="C20" s="14"/>
      <c r="D20" s="14"/>
      <c r="E20" s="14"/>
      <c r="F20" s="14"/>
      <c r="G20" s="14"/>
      <c r="H20" s="14"/>
    </row>
    <row r="21" customFormat="false" ht="31.5" hidden="false" customHeight="true" outlineLevel="0" collapsed="false">
      <c r="A21" s="14" t="s">
        <v>114</v>
      </c>
      <c r="B21" s="14"/>
      <c r="C21" s="14"/>
      <c r="D21" s="14"/>
      <c r="E21" s="14"/>
      <c r="F21" s="14"/>
      <c r="G21" s="14"/>
      <c r="H21" s="14"/>
    </row>
    <row r="22" customFormat="false" ht="31.5" hidden="false" customHeight="true" outlineLevel="0" collapsed="false">
      <c r="A22" s="14" t="s">
        <v>115</v>
      </c>
      <c r="B22" s="14"/>
      <c r="C22" s="14"/>
      <c r="D22" s="14"/>
      <c r="E22" s="14"/>
      <c r="F22" s="14"/>
      <c r="G22" s="14"/>
      <c r="H22" s="14"/>
    </row>
    <row r="23" customFormat="false" ht="31.5" hidden="false" customHeight="true" outlineLevel="0" collapsed="false">
      <c r="A23" s="14" t="s">
        <v>116</v>
      </c>
      <c r="B23" s="14"/>
      <c r="C23" s="14"/>
      <c r="D23" s="14"/>
      <c r="E23" s="14"/>
      <c r="F23" s="14"/>
      <c r="G23" s="14"/>
      <c r="H23" s="14"/>
    </row>
    <row r="24" customFormat="false" ht="31.5" hidden="false" customHeight="true" outlineLevel="0" collapsed="false">
      <c r="A24" s="14" t="s">
        <v>117</v>
      </c>
      <c r="B24" s="14"/>
      <c r="C24" s="14"/>
      <c r="D24" s="14"/>
      <c r="E24" s="14"/>
      <c r="F24" s="14"/>
      <c r="G24" s="14"/>
      <c r="H24" s="14"/>
    </row>
    <row r="25" customFormat="false" ht="31.5" hidden="false" customHeight="true" outlineLevel="0" collapsed="false">
      <c r="A25" s="14" t="s">
        <v>118</v>
      </c>
      <c r="B25" s="14"/>
      <c r="C25" s="14"/>
      <c r="D25" s="14"/>
      <c r="E25" s="14"/>
      <c r="F25" s="14"/>
      <c r="G25" s="14"/>
      <c r="H25" s="14"/>
    </row>
    <row r="26" customFormat="false" ht="31.5" hidden="false" customHeight="true" outlineLevel="0" collapsed="false">
      <c r="A26" s="14" t="s">
        <v>119</v>
      </c>
      <c r="B26" s="14"/>
      <c r="C26" s="14"/>
      <c r="D26" s="14"/>
      <c r="E26" s="14"/>
      <c r="F26" s="14"/>
      <c r="G26" s="14"/>
      <c r="H26" s="14"/>
    </row>
  </sheetData>
  <mergeCells count="10">
    <mergeCell ref="A1:H1"/>
    <mergeCell ref="A3:H3"/>
    <mergeCell ref="A19:H19"/>
    <mergeCell ref="A20:H20"/>
    <mergeCell ref="A21:H21"/>
    <mergeCell ref="A22:H22"/>
    <mergeCell ref="A23:H23"/>
    <mergeCell ref="A24:H24"/>
    <mergeCell ref="A25:H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32"/>
    <col collapsed="false" customWidth="true" hidden="false" outlineLevel="0" max="5" min="5" style="1" width="30"/>
    <col collapsed="false" customWidth="true" hidden="false" outlineLevel="0" max="6" min="6" style="1" width="42"/>
  </cols>
  <sheetData>
    <row r="1" customFormat="false" ht="17.25" hidden="false" customHeight="true" outlineLevel="0" collapsed="false">
      <c r="A1" s="2" t="s">
        <v>120</v>
      </c>
      <c r="B1" s="2"/>
      <c r="C1" s="2"/>
      <c r="D1" s="2"/>
      <c r="E1" s="2"/>
      <c r="F1" s="2"/>
    </row>
    <row r="3" customFormat="false" ht="31.5" hidden="false" customHeight="true" outlineLevel="0" collapsed="false">
      <c r="A3" s="10" t="s">
        <v>18</v>
      </c>
      <c r="B3" s="10" t="s">
        <v>121</v>
      </c>
      <c r="C3" s="10" t="s">
        <v>122</v>
      </c>
      <c r="D3" s="10" t="s">
        <v>123</v>
      </c>
      <c r="E3" s="10" t="s">
        <v>124</v>
      </c>
      <c r="F3" s="10" t="s">
        <v>125</v>
      </c>
    </row>
    <row r="4" customFormat="false" ht="49.5" hidden="false" customHeight="true" outlineLevel="0" collapsed="false">
      <c r="A4" s="15" t="s">
        <v>126</v>
      </c>
      <c r="B4" s="15" t="s">
        <v>127</v>
      </c>
      <c r="C4" s="15" t="s">
        <v>68</v>
      </c>
      <c r="D4" s="15" t="s">
        <v>128</v>
      </c>
      <c r="E4" s="15" t="s">
        <v>129</v>
      </c>
      <c r="F4" s="15" t="s">
        <v>130</v>
      </c>
    </row>
    <row r="5" customFormat="false" ht="49.5" hidden="false" customHeight="true" outlineLevel="0" collapsed="false">
      <c r="A5" s="15" t="s">
        <v>28</v>
      </c>
      <c r="B5" s="15" t="s">
        <v>131</v>
      </c>
      <c r="C5" s="15" t="s">
        <v>132</v>
      </c>
      <c r="D5" s="15" t="s">
        <v>133</v>
      </c>
      <c r="E5" s="15" t="s">
        <v>134</v>
      </c>
      <c r="F5" s="15" t="s">
        <v>135</v>
      </c>
    </row>
    <row r="6" customFormat="false" ht="49.5" hidden="false" customHeight="true" outlineLevel="0" collapsed="false">
      <c r="A6" s="15" t="s">
        <v>26</v>
      </c>
      <c r="B6" s="15" t="s">
        <v>127</v>
      </c>
      <c r="C6" s="15" t="s">
        <v>68</v>
      </c>
      <c r="D6" s="15" t="s">
        <v>136</v>
      </c>
      <c r="E6" s="15" t="s">
        <v>134</v>
      </c>
      <c r="F6" s="15" t="s">
        <v>137</v>
      </c>
    </row>
    <row r="7" customFormat="false" ht="49.5" hidden="false" customHeight="true" outlineLevel="0" collapsed="false">
      <c r="A7" s="15" t="s">
        <v>34</v>
      </c>
      <c r="B7" s="15" t="s">
        <v>138</v>
      </c>
      <c r="C7" s="15" t="s">
        <v>68</v>
      </c>
      <c r="D7" s="15" t="s">
        <v>139</v>
      </c>
      <c r="E7" s="15" t="s">
        <v>140</v>
      </c>
      <c r="F7" s="15" t="s">
        <v>141</v>
      </c>
    </row>
    <row r="8" customFormat="false" ht="49.5" hidden="false" customHeight="true" outlineLevel="0" collapsed="false">
      <c r="A8" s="15" t="s">
        <v>47</v>
      </c>
      <c r="B8" s="15" t="s">
        <v>127</v>
      </c>
      <c r="C8" s="15" t="s">
        <v>128</v>
      </c>
      <c r="D8" s="15" t="s">
        <v>95</v>
      </c>
      <c r="E8" s="15" t="s">
        <v>134</v>
      </c>
      <c r="F8" s="15" t="s">
        <v>142</v>
      </c>
    </row>
    <row r="9" customFormat="false" ht="49.5" hidden="false" customHeight="true" outlineLevel="0" collapsed="false">
      <c r="A9" s="15" t="s">
        <v>45</v>
      </c>
      <c r="B9" s="15" t="s">
        <v>143</v>
      </c>
      <c r="C9" s="15" t="s">
        <v>144</v>
      </c>
      <c r="D9" s="15" t="s">
        <v>95</v>
      </c>
      <c r="E9" s="15" t="s">
        <v>145</v>
      </c>
      <c r="F9" s="15" t="s">
        <v>146</v>
      </c>
    </row>
    <row r="10" customFormat="false" ht="49.5" hidden="false" customHeight="true" outlineLevel="0" collapsed="false">
      <c r="A10" s="15" t="s">
        <v>147</v>
      </c>
      <c r="B10" s="15" t="s">
        <v>148</v>
      </c>
      <c r="C10" s="15" t="s">
        <v>149</v>
      </c>
      <c r="D10" s="15" t="s">
        <v>150</v>
      </c>
      <c r="E10" s="15" t="s">
        <v>151</v>
      </c>
      <c r="F10" s="15" t="s">
        <v>152</v>
      </c>
    </row>
    <row r="11" customFormat="false" ht="49.5" hidden="false" customHeight="true" outlineLevel="0" collapsed="false">
      <c r="A11" s="15" t="s">
        <v>153</v>
      </c>
      <c r="B11" s="15" t="s">
        <v>154</v>
      </c>
      <c r="C11" s="15" t="s">
        <v>155</v>
      </c>
      <c r="D11" s="15" t="s">
        <v>68</v>
      </c>
      <c r="E11" s="15" t="s">
        <v>156</v>
      </c>
      <c r="F11" s="15" t="s">
        <v>157</v>
      </c>
    </row>
    <row r="14" customFormat="false" ht="15" hidden="false" customHeight="true" outlineLevel="0" collapsed="false">
      <c r="A14" s="3" t="s">
        <v>158</v>
      </c>
      <c r="B14" s="3"/>
      <c r="C14" s="3"/>
      <c r="D14" s="3"/>
      <c r="E14" s="3"/>
      <c r="F14" s="3"/>
    </row>
    <row r="15" customFormat="false" ht="36" hidden="false" customHeight="true" outlineLevel="0" collapsed="false">
      <c r="A15" s="14" t="s">
        <v>159</v>
      </c>
      <c r="B15" s="14"/>
      <c r="C15" s="14"/>
      <c r="D15" s="14"/>
      <c r="E15" s="14"/>
      <c r="F15" s="14"/>
    </row>
    <row r="16" customFormat="false" ht="36" hidden="false" customHeight="true" outlineLevel="0" collapsed="false">
      <c r="A16" s="14" t="s">
        <v>160</v>
      </c>
      <c r="B16" s="14"/>
      <c r="C16" s="14"/>
      <c r="D16" s="14"/>
      <c r="E16" s="14"/>
      <c r="F16" s="14"/>
    </row>
    <row r="17" customFormat="false" ht="36" hidden="false" customHeight="true" outlineLevel="0" collapsed="false">
      <c r="A17" s="14" t="s">
        <v>161</v>
      </c>
      <c r="B17" s="14"/>
      <c r="C17" s="14"/>
      <c r="D17" s="14"/>
      <c r="E17" s="14"/>
      <c r="F17" s="14"/>
    </row>
    <row r="18" customFormat="false" ht="36" hidden="false" customHeight="true" outlineLevel="0" collapsed="false">
      <c r="A18" s="14" t="s">
        <v>162</v>
      </c>
      <c r="B18" s="14"/>
      <c r="C18" s="14"/>
      <c r="D18" s="14"/>
      <c r="E18" s="14"/>
      <c r="F18" s="14"/>
    </row>
    <row r="19" customFormat="false" ht="36" hidden="false" customHeight="true" outlineLevel="0" collapsed="false">
      <c r="A19" s="14" t="s">
        <v>163</v>
      </c>
      <c r="B19" s="14"/>
      <c r="C19" s="14"/>
      <c r="D19" s="14"/>
      <c r="E19" s="14"/>
      <c r="F19" s="14"/>
    </row>
    <row r="20" customFormat="false" ht="36" hidden="false" customHeight="true" outlineLevel="0" collapsed="false">
      <c r="A20" s="14" t="s">
        <v>164</v>
      </c>
      <c r="B20" s="14"/>
      <c r="C20" s="14"/>
      <c r="D20" s="14"/>
      <c r="E20" s="14"/>
      <c r="F20" s="14"/>
    </row>
  </sheetData>
  <mergeCells count="8">
    <mergeCell ref="A1:F1"/>
    <mergeCell ref="A14:F14"/>
    <mergeCell ref="A15:F15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165</v>
      </c>
      <c r="B1" s="2"/>
      <c r="C1" s="2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166</v>
      </c>
    </row>
    <row r="4" customFormat="false" ht="27.75" hidden="false" customHeight="true" outlineLevel="0" collapsed="false">
      <c r="A4" s="1" t="s">
        <v>167</v>
      </c>
      <c r="B4" s="1" t="s">
        <v>168</v>
      </c>
      <c r="C4" s="15" t="s">
        <v>169</v>
      </c>
    </row>
    <row r="5" customFormat="false" ht="27.75" hidden="false" customHeight="true" outlineLevel="0" collapsed="false">
      <c r="A5" s="1" t="s">
        <v>170</v>
      </c>
      <c r="B5" s="1" t="s">
        <v>171</v>
      </c>
      <c r="C5" s="15" t="s">
        <v>172</v>
      </c>
    </row>
    <row r="6" customFormat="false" ht="27.75" hidden="false" customHeight="true" outlineLevel="0" collapsed="false">
      <c r="A6" s="1" t="s">
        <v>173</v>
      </c>
      <c r="B6" s="1" t="s">
        <v>174</v>
      </c>
      <c r="C6" s="15" t="s">
        <v>175</v>
      </c>
    </row>
    <row r="7" customFormat="false" ht="27.75" hidden="false" customHeight="true" outlineLevel="0" collapsed="false">
      <c r="A7" s="1" t="s">
        <v>176</v>
      </c>
      <c r="B7" s="1" t="s">
        <v>177</v>
      </c>
      <c r="C7" s="15" t="s">
        <v>178</v>
      </c>
    </row>
    <row r="8" customFormat="false" ht="27.75" hidden="false" customHeight="true" outlineLevel="0" collapsed="false">
      <c r="A8" s="1" t="s">
        <v>179</v>
      </c>
      <c r="B8" s="1" t="s">
        <v>180</v>
      </c>
      <c r="C8" s="15" t="s">
        <v>181</v>
      </c>
    </row>
    <row r="9" customFormat="false" ht="27.75" hidden="false" customHeight="true" outlineLevel="0" collapsed="false">
      <c r="A9" s="1" t="s">
        <v>182</v>
      </c>
      <c r="B9" s="1" t="s">
        <v>183</v>
      </c>
      <c r="C9" s="15" t="s">
        <v>184</v>
      </c>
    </row>
    <row r="10" customFormat="false" ht="27.75" hidden="false" customHeight="true" outlineLevel="0" collapsed="false">
      <c r="A10" s="1" t="s">
        <v>185</v>
      </c>
      <c r="B10" s="1" t="s">
        <v>186</v>
      </c>
      <c r="C10" s="15" t="s">
        <v>187</v>
      </c>
    </row>
    <row r="11" customFormat="false" ht="27.75" hidden="false" customHeight="true" outlineLevel="0" collapsed="false">
      <c r="A11" s="1" t="s">
        <v>188</v>
      </c>
      <c r="B11" s="1" t="s">
        <v>189</v>
      </c>
      <c r="C11" s="15" t="s">
        <v>190</v>
      </c>
    </row>
    <row r="12" customFormat="false" ht="27.75" hidden="false" customHeight="true" outlineLevel="0" collapsed="false">
      <c r="A12" s="1" t="s">
        <v>191</v>
      </c>
      <c r="B12" s="1" t="s">
        <v>192</v>
      </c>
      <c r="C12" s="15" t="s">
        <v>193</v>
      </c>
    </row>
    <row r="13" customFormat="false" ht="27.75" hidden="false" customHeight="true" outlineLevel="0" collapsed="false">
      <c r="A13" s="1" t="s">
        <v>194</v>
      </c>
      <c r="B13" s="1" t="s">
        <v>195</v>
      </c>
      <c r="C13" s="15" t="s">
        <v>196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2026-05-03T17:41:42Z</dcterms:created>
  <dc:creator>openpyxl</dc:creator>
  <dc:description/>
  <dc:language>en-US</dc:language>
  <cp:lastModifiedBy/>
  <dcterms:modified xsi:type="dcterms:W3CDTF">2026-05-03T17:42:13Z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